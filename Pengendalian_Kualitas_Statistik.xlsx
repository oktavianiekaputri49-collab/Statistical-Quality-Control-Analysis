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406639E5-5A45-458D-9052-F56B8142A95E}" xr6:coauthVersionLast="47" xr6:coauthVersionMax="47" xr10:uidLastSave="{00000000-0000-0000-0000-000000000000}"/>
  <bookViews>
    <workbookView xWindow="-110" yWindow="-110" windowWidth="19420" windowHeight="10300" xr2:uid="{5B631C75-AE9B-4C7D-8095-365DE0FA6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H2" i="1"/>
  <c r="E2" i="1"/>
  <c r="D2" i="1"/>
  <c r="C2" i="1"/>
  <c r="I2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</calcChain>
</file>

<file path=xl/sharedStrings.xml><?xml version="1.0" encoding="utf-8"?>
<sst xmlns="http://schemas.openxmlformats.org/spreadsheetml/2006/main" count="9" uniqueCount="6">
  <si>
    <t>Subgrup</t>
  </si>
  <si>
    <t>CL</t>
  </si>
  <si>
    <t>UCL</t>
  </si>
  <si>
    <t>LCL</t>
  </si>
  <si>
    <t>R</t>
  </si>
  <si>
    <t>Xbar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</si>
</sst>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</a:t>
            </a:r>
            <a:r>
              <a:rPr lang="en-ID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Chart</a:t>
            </a:r>
            <a:endParaRPr lang="en-ID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Sheet1!$F$2:$F$21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  <c:pt idx="12">
                  <c:v>3</c:v>
                </c:pt>
                <c:pt idx="13">
                  <c:v>6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5-4B55-A3F9-09FDB907A505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Sheet1!$G$2:$G$21</c:f>
              <c:numCache>
                <c:formatCode>General</c:formatCode>
                <c:ptCount val="20"/>
                <c:pt idx="0">
                  <c:v>3.15</c:v>
                </c:pt>
                <c:pt idx="1">
                  <c:v>3.15</c:v>
                </c:pt>
                <c:pt idx="2">
                  <c:v>3.15</c:v>
                </c:pt>
                <c:pt idx="3">
                  <c:v>3.15</c:v>
                </c:pt>
                <c:pt idx="4">
                  <c:v>3.15</c:v>
                </c:pt>
                <c:pt idx="5">
                  <c:v>3.15</c:v>
                </c:pt>
                <c:pt idx="6">
                  <c:v>3.15</c:v>
                </c:pt>
                <c:pt idx="7">
                  <c:v>3.15</c:v>
                </c:pt>
                <c:pt idx="8">
                  <c:v>3.15</c:v>
                </c:pt>
                <c:pt idx="9">
                  <c:v>3.15</c:v>
                </c:pt>
                <c:pt idx="10">
                  <c:v>3.15</c:v>
                </c:pt>
                <c:pt idx="11">
                  <c:v>3.15</c:v>
                </c:pt>
                <c:pt idx="12">
                  <c:v>3.15</c:v>
                </c:pt>
                <c:pt idx="13">
                  <c:v>3.15</c:v>
                </c:pt>
                <c:pt idx="14">
                  <c:v>3.15</c:v>
                </c:pt>
                <c:pt idx="15">
                  <c:v>3.15</c:v>
                </c:pt>
                <c:pt idx="16">
                  <c:v>3.15</c:v>
                </c:pt>
                <c:pt idx="17">
                  <c:v>3.15</c:v>
                </c:pt>
                <c:pt idx="18">
                  <c:v>3.15</c:v>
                </c:pt>
                <c:pt idx="19">
                  <c:v>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B5-4B55-A3F9-09FDB907A505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Sheet1!$H$2:$H$21</c:f>
              <c:numCache>
                <c:formatCode>General</c:formatCode>
                <c:ptCount val="20"/>
                <c:pt idx="0">
                  <c:v>10.29105</c:v>
                </c:pt>
                <c:pt idx="1">
                  <c:v>10.29105</c:v>
                </c:pt>
                <c:pt idx="2">
                  <c:v>10.29105</c:v>
                </c:pt>
                <c:pt idx="3">
                  <c:v>10.29105</c:v>
                </c:pt>
                <c:pt idx="4">
                  <c:v>10.29105</c:v>
                </c:pt>
                <c:pt idx="5">
                  <c:v>10.29105</c:v>
                </c:pt>
                <c:pt idx="6">
                  <c:v>10.29105</c:v>
                </c:pt>
                <c:pt idx="7">
                  <c:v>10.29105</c:v>
                </c:pt>
                <c:pt idx="8">
                  <c:v>10.29105</c:v>
                </c:pt>
                <c:pt idx="9">
                  <c:v>10.29105</c:v>
                </c:pt>
                <c:pt idx="10">
                  <c:v>10.29105</c:v>
                </c:pt>
                <c:pt idx="11">
                  <c:v>10.29105</c:v>
                </c:pt>
                <c:pt idx="12">
                  <c:v>10.29105</c:v>
                </c:pt>
                <c:pt idx="13">
                  <c:v>10.29105</c:v>
                </c:pt>
                <c:pt idx="14">
                  <c:v>10.29105</c:v>
                </c:pt>
                <c:pt idx="15">
                  <c:v>10.29105</c:v>
                </c:pt>
                <c:pt idx="16">
                  <c:v>10.29105</c:v>
                </c:pt>
                <c:pt idx="17">
                  <c:v>10.29105</c:v>
                </c:pt>
                <c:pt idx="18">
                  <c:v>10.29105</c:v>
                </c:pt>
                <c:pt idx="19">
                  <c:v>10.29105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B5-4B55-A3F9-09FDB907A505}"/>
            </c:ext>
          </c:extLst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Sheet1!$I$2:$I$21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B5-4B55-A3F9-09FDB907A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5733376"/>
        <c:axId val="1365736256"/>
      </c:lineChart>
      <c:catAx>
        <c:axId val="1365733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65736256"/>
        <c:crosses val="autoZero"/>
        <c:auto val="1"/>
        <c:lblAlgn val="ctr"/>
        <c:lblOffset val="100"/>
        <c:noMultiLvlLbl val="0"/>
      </c:catAx>
      <c:valAx>
        <c:axId val="136573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6573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XBar</a:t>
            </a:r>
            <a:r>
              <a:rPr lang="en-ID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Chart</a:t>
            </a:r>
            <a:endParaRPr lang="en-ID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Xbar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Sheet1!$B$2:$B$21</c:f>
              <c:numCache>
                <c:formatCode>General</c:formatCode>
                <c:ptCount val="20"/>
                <c:pt idx="0">
                  <c:v>8.3000000000000007</c:v>
                </c:pt>
                <c:pt idx="1">
                  <c:v>8.1</c:v>
                </c:pt>
                <c:pt idx="2">
                  <c:v>7.9</c:v>
                </c:pt>
                <c:pt idx="3">
                  <c:v>6.3</c:v>
                </c:pt>
                <c:pt idx="4">
                  <c:v>8.5</c:v>
                </c:pt>
                <c:pt idx="5">
                  <c:v>7.5</c:v>
                </c:pt>
                <c:pt idx="6">
                  <c:v>8</c:v>
                </c:pt>
                <c:pt idx="7">
                  <c:v>7.4</c:v>
                </c:pt>
                <c:pt idx="8">
                  <c:v>6.4</c:v>
                </c:pt>
                <c:pt idx="9">
                  <c:v>7.5</c:v>
                </c:pt>
                <c:pt idx="10">
                  <c:v>8.8000000000000007</c:v>
                </c:pt>
                <c:pt idx="11">
                  <c:v>9.1</c:v>
                </c:pt>
                <c:pt idx="12">
                  <c:v>5.9</c:v>
                </c:pt>
                <c:pt idx="13">
                  <c:v>9</c:v>
                </c:pt>
                <c:pt idx="14">
                  <c:v>6.4</c:v>
                </c:pt>
                <c:pt idx="15">
                  <c:v>7.3</c:v>
                </c:pt>
                <c:pt idx="16">
                  <c:v>5.3</c:v>
                </c:pt>
                <c:pt idx="17">
                  <c:v>7.6</c:v>
                </c:pt>
                <c:pt idx="18">
                  <c:v>8.1</c:v>
                </c:pt>
                <c:pt idx="1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3-4368-A583-26D19EA8A5F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Sheet1!$C$2:$C$21</c:f>
              <c:numCache>
                <c:formatCode>General</c:formatCode>
                <c:ptCount val="20"/>
                <c:pt idx="0">
                  <c:v>7.5699999999999985</c:v>
                </c:pt>
                <c:pt idx="1">
                  <c:v>7.5699999999999985</c:v>
                </c:pt>
                <c:pt idx="2">
                  <c:v>7.5699999999999985</c:v>
                </c:pt>
                <c:pt idx="3">
                  <c:v>7.5699999999999985</c:v>
                </c:pt>
                <c:pt idx="4">
                  <c:v>7.5699999999999985</c:v>
                </c:pt>
                <c:pt idx="5">
                  <c:v>7.5699999999999985</c:v>
                </c:pt>
                <c:pt idx="6">
                  <c:v>7.5699999999999985</c:v>
                </c:pt>
                <c:pt idx="7">
                  <c:v>7.5699999999999985</c:v>
                </c:pt>
                <c:pt idx="8">
                  <c:v>7.5699999999999985</c:v>
                </c:pt>
                <c:pt idx="9">
                  <c:v>7.5699999999999985</c:v>
                </c:pt>
                <c:pt idx="10">
                  <c:v>7.5699999999999985</c:v>
                </c:pt>
                <c:pt idx="11">
                  <c:v>7.5699999999999985</c:v>
                </c:pt>
                <c:pt idx="12">
                  <c:v>7.5699999999999985</c:v>
                </c:pt>
                <c:pt idx="13">
                  <c:v>7.5699999999999985</c:v>
                </c:pt>
                <c:pt idx="14">
                  <c:v>7.5699999999999985</c:v>
                </c:pt>
                <c:pt idx="15">
                  <c:v>7.5699999999999985</c:v>
                </c:pt>
                <c:pt idx="16">
                  <c:v>7.5699999999999985</c:v>
                </c:pt>
                <c:pt idx="17">
                  <c:v>7.5699999999999985</c:v>
                </c:pt>
                <c:pt idx="18">
                  <c:v>7.5699999999999985</c:v>
                </c:pt>
                <c:pt idx="19">
                  <c:v>7.5699999999999985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3-4368-A583-26D19EA8A5F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Sheet1!$D$2:$D$21</c:f>
              <c:numCache>
                <c:formatCode>0.00</c:formatCode>
                <c:ptCount val="20"/>
                <c:pt idx="0">
                  <c:v>13.491999999999997</c:v>
                </c:pt>
                <c:pt idx="1">
                  <c:v>13.491999999999997</c:v>
                </c:pt>
                <c:pt idx="2">
                  <c:v>13.491999999999997</c:v>
                </c:pt>
                <c:pt idx="3">
                  <c:v>13.491999999999997</c:v>
                </c:pt>
                <c:pt idx="4">
                  <c:v>13.491999999999997</c:v>
                </c:pt>
                <c:pt idx="5">
                  <c:v>13.491999999999997</c:v>
                </c:pt>
                <c:pt idx="6">
                  <c:v>13.491999999999997</c:v>
                </c:pt>
                <c:pt idx="7">
                  <c:v>13.491999999999997</c:v>
                </c:pt>
                <c:pt idx="8">
                  <c:v>13.491999999999997</c:v>
                </c:pt>
                <c:pt idx="9">
                  <c:v>13.491999999999997</c:v>
                </c:pt>
                <c:pt idx="10">
                  <c:v>13.491999999999997</c:v>
                </c:pt>
                <c:pt idx="11">
                  <c:v>13.491999999999997</c:v>
                </c:pt>
                <c:pt idx="12">
                  <c:v>13.491999999999997</c:v>
                </c:pt>
                <c:pt idx="13">
                  <c:v>13.491999999999997</c:v>
                </c:pt>
                <c:pt idx="14">
                  <c:v>13.491999999999997</c:v>
                </c:pt>
                <c:pt idx="15">
                  <c:v>13.491999999999997</c:v>
                </c:pt>
                <c:pt idx="16">
                  <c:v>13.491999999999997</c:v>
                </c:pt>
                <c:pt idx="17">
                  <c:v>13.491999999999997</c:v>
                </c:pt>
                <c:pt idx="18">
                  <c:v>13.491999999999997</c:v>
                </c:pt>
                <c:pt idx="19">
                  <c:v>13.491999999999997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63-4368-A583-26D19EA8A5F0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Sheet1!$E$2:$E$21</c:f>
              <c:numCache>
                <c:formatCode>0.00</c:formatCode>
                <c:ptCount val="20"/>
                <c:pt idx="0">
                  <c:v>1.6479999999999988</c:v>
                </c:pt>
                <c:pt idx="1">
                  <c:v>1.6479999999999988</c:v>
                </c:pt>
                <c:pt idx="2">
                  <c:v>1.6479999999999988</c:v>
                </c:pt>
                <c:pt idx="3">
                  <c:v>1.6479999999999988</c:v>
                </c:pt>
                <c:pt idx="4">
                  <c:v>1.6479999999999988</c:v>
                </c:pt>
                <c:pt idx="5">
                  <c:v>1.6479999999999988</c:v>
                </c:pt>
                <c:pt idx="6">
                  <c:v>1.6479999999999988</c:v>
                </c:pt>
                <c:pt idx="7">
                  <c:v>1.6479999999999988</c:v>
                </c:pt>
                <c:pt idx="8">
                  <c:v>1.6479999999999988</c:v>
                </c:pt>
                <c:pt idx="9">
                  <c:v>1.6479999999999988</c:v>
                </c:pt>
                <c:pt idx="10">
                  <c:v>1.6479999999999988</c:v>
                </c:pt>
                <c:pt idx="11">
                  <c:v>1.6479999999999988</c:v>
                </c:pt>
                <c:pt idx="12">
                  <c:v>1.6479999999999988</c:v>
                </c:pt>
                <c:pt idx="13">
                  <c:v>1.6479999999999988</c:v>
                </c:pt>
                <c:pt idx="14">
                  <c:v>1.6479999999999988</c:v>
                </c:pt>
                <c:pt idx="15">
                  <c:v>1.6479999999999988</c:v>
                </c:pt>
                <c:pt idx="16">
                  <c:v>1.6479999999999988</c:v>
                </c:pt>
                <c:pt idx="17">
                  <c:v>1.6479999999999988</c:v>
                </c:pt>
                <c:pt idx="18">
                  <c:v>1.6479999999999988</c:v>
                </c:pt>
                <c:pt idx="19">
                  <c:v>1.6479999999999988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63-4368-A583-26D19EA8A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057968"/>
        <c:axId val="1609047888"/>
      </c:lineChart>
      <c:catAx>
        <c:axId val="1609057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9047888"/>
        <c:crosses val="autoZero"/>
        <c:auto val="1"/>
        <c:lblAlgn val="ctr"/>
        <c:lblOffset val="100"/>
        <c:noMultiLvlLbl val="0"/>
      </c:catAx>
      <c:valAx>
        <c:axId val="160904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905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8</xdr:col>
      <xdr:colOff>539750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24BBCA-DC46-10CC-95BB-5A566C9EF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10773</xdr:colOff>
      <xdr:row>40</xdr:row>
      <xdr:rowOff>15552</xdr:rowOff>
    </xdr:from>
    <xdr:to>
      <xdr:col>8</xdr:col>
      <xdr:colOff>565150</xdr:colOff>
      <xdr:row>57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7379DBC-FF15-49DE-3276-C6588E65E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D0DA-D19D-43AA-B541-BEE82BEB5585}">
  <dimension ref="A1:I22"/>
  <sheetViews>
    <sheetView tabSelected="1" topLeftCell="A6" zoomScaleNormal="100" workbookViewId="0">
      <selection activeCell="K38" sqref="K38"/>
    </sheetView>
  </sheetViews>
  <sheetFormatPr defaultRowHeight="15.5" x14ac:dyDescent="0.35"/>
  <cols>
    <col min="1" max="1" width="8.7265625" style="1"/>
    <col min="2" max="2" width="13.1796875" style="1" customWidth="1"/>
    <col min="3" max="3" width="8.7265625" style="1"/>
    <col min="4" max="4" width="9.36328125" style="1" customWidth="1"/>
    <col min="5" max="5" width="8.7265625" style="1"/>
    <col min="6" max="6" width="9.81640625" style="1" bestFit="1" customWidth="1"/>
    <col min="7" max="16384" width="8.7265625" style="1"/>
  </cols>
  <sheetData>
    <row r="1" spans="1:9" x14ac:dyDescent="0.35">
      <c r="A1" s="6" t="s">
        <v>0</v>
      </c>
      <c r="B1" s="6" t="s">
        <v>5</v>
      </c>
      <c r="C1" s="6" t="s">
        <v>1</v>
      </c>
      <c r="D1" s="6" t="s">
        <v>2</v>
      </c>
      <c r="E1" s="6" t="s">
        <v>3</v>
      </c>
      <c r="F1" s="7" t="s">
        <v>4</v>
      </c>
      <c r="G1" s="8" t="s">
        <v>1</v>
      </c>
      <c r="H1" s="8" t="s">
        <v>2</v>
      </c>
      <c r="I1" s="8" t="s">
        <v>3</v>
      </c>
    </row>
    <row r="2" spans="1:9" x14ac:dyDescent="0.35">
      <c r="A2" s="4">
        <v>1</v>
      </c>
      <c r="B2" s="4">
        <v>8.3000000000000007</v>
      </c>
      <c r="C2" s="4">
        <f>AVERAGE($B$2:$B$21)</f>
        <v>7.5699999999999985</v>
      </c>
      <c r="D2" s="5">
        <f>C2+(1.88*G2)</f>
        <v>13.491999999999997</v>
      </c>
      <c r="E2" s="5">
        <f>C2-(1.88*G2)</f>
        <v>1.6479999999999988</v>
      </c>
      <c r="F2" s="4">
        <v>2</v>
      </c>
      <c r="G2" s="3">
        <f>AVERAGE($F$2:$F$21)</f>
        <v>3.15</v>
      </c>
      <c r="H2" s="3">
        <f>3.267*G2</f>
        <v>10.29105</v>
      </c>
      <c r="I2" s="3">
        <f>0*G2</f>
        <v>0</v>
      </c>
    </row>
    <row r="3" spans="1:9" x14ac:dyDescent="0.35">
      <c r="A3" s="4">
        <v>2</v>
      </c>
      <c r="B3" s="4">
        <v>8.1</v>
      </c>
      <c r="C3" s="4">
        <f>AVERAGE($B$2:$B$21)</f>
        <v>7.5699999999999985</v>
      </c>
      <c r="D3" s="5">
        <f t="shared" ref="D3:D21" si="0">C3+(1.88*G3)</f>
        <v>13.491999999999997</v>
      </c>
      <c r="E3" s="5">
        <f t="shared" ref="E3:E21" si="1">C3-(1.88*G3)</f>
        <v>1.6479999999999988</v>
      </c>
      <c r="F3" s="4">
        <v>3</v>
      </c>
      <c r="G3" s="3">
        <f t="shared" ref="G3:G21" si="2">AVERAGE($F$2:$F$21)</f>
        <v>3.15</v>
      </c>
      <c r="H3" s="3">
        <f t="shared" ref="H3:H21" si="3">3.267*G3</f>
        <v>10.29105</v>
      </c>
      <c r="I3" s="3">
        <f t="shared" ref="I3:I21" si="4">0*G3</f>
        <v>0</v>
      </c>
    </row>
    <row r="4" spans="1:9" x14ac:dyDescent="0.35">
      <c r="A4" s="4">
        <v>3</v>
      </c>
      <c r="B4" s="4">
        <v>7.9</v>
      </c>
      <c r="C4" s="4">
        <f t="shared" ref="C4:C21" si="5">AVERAGE($B$2:$B$21)</f>
        <v>7.5699999999999985</v>
      </c>
      <c r="D4" s="5">
        <f t="shared" si="0"/>
        <v>13.491999999999997</v>
      </c>
      <c r="E4" s="5">
        <f t="shared" si="1"/>
        <v>1.6479999999999988</v>
      </c>
      <c r="F4" s="4">
        <v>1</v>
      </c>
      <c r="G4" s="3">
        <f t="shared" si="2"/>
        <v>3.15</v>
      </c>
      <c r="H4" s="3">
        <f t="shared" si="3"/>
        <v>10.29105</v>
      </c>
      <c r="I4" s="3">
        <f t="shared" si="4"/>
        <v>0</v>
      </c>
    </row>
    <row r="5" spans="1:9" x14ac:dyDescent="0.35">
      <c r="A5" s="4">
        <v>4</v>
      </c>
      <c r="B5" s="4">
        <v>6.3</v>
      </c>
      <c r="C5" s="4">
        <f t="shared" si="5"/>
        <v>7.5699999999999985</v>
      </c>
      <c r="D5" s="5">
        <f t="shared" si="0"/>
        <v>13.491999999999997</v>
      </c>
      <c r="E5" s="5">
        <f t="shared" si="1"/>
        <v>1.6479999999999988</v>
      </c>
      <c r="F5" s="4">
        <v>5</v>
      </c>
      <c r="G5" s="3">
        <f t="shared" si="2"/>
        <v>3.15</v>
      </c>
      <c r="H5" s="3">
        <f t="shared" si="3"/>
        <v>10.29105</v>
      </c>
      <c r="I5" s="3">
        <f t="shared" si="4"/>
        <v>0</v>
      </c>
    </row>
    <row r="6" spans="1:9" x14ac:dyDescent="0.35">
      <c r="A6" s="4">
        <v>5</v>
      </c>
      <c r="B6" s="4">
        <v>8.5</v>
      </c>
      <c r="C6" s="4">
        <f t="shared" si="5"/>
        <v>7.5699999999999985</v>
      </c>
      <c r="D6" s="5">
        <f t="shared" si="0"/>
        <v>13.491999999999997</v>
      </c>
      <c r="E6" s="5">
        <f t="shared" si="1"/>
        <v>1.6479999999999988</v>
      </c>
      <c r="F6" s="4">
        <v>3</v>
      </c>
      <c r="G6" s="3">
        <f t="shared" si="2"/>
        <v>3.15</v>
      </c>
      <c r="H6" s="3">
        <f t="shared" si="3"/>
        <v>10.29105</v>
      </c>
      <c r="I6" s="3">
        <f t="shared" si="4"/>
        <v>0</v>
      </c>
    </row>
    <row r="7" spans="1:9" x14ac:dyDescent="0.35">
      <c r="A7" s="4">
        <v>6</v>
      </c>
      <c r="B7" s="4">
        <v>7.5</v>
      </c>
      <c r="C7" s="4">
        <f t="shared" si="5"/>
        <v>7.5699999999999985</v>
      </c>
      <c r="D7" s="5">
        <f t="shared" si="0"/>
        <v>13.491999999999997</v>
      </c>
      <c r="E7" s="5">
        <f t="shared" si="1"/>
        <v>1.6479999999999988</v>
      </c>
      <c r="F7" s="4">
        <v>4</v>
      </c>
      <c r="G7" s="3">
        <f t="shared" si="2"/>
        <v>3.15</v>
      </c>
      <c r="H7" s="3">
        <f t="shared" si="3"/>
        <v>10.29105</v>
      </c>
      <c r="I7" s="3">
        <f t="shared" si="4"/>
        <v>0</v>
      </c>
    </row>
    <row r="8" spans="1:9" x14ac:dyDescent="0.35">
      <c r="A8" s="4">
        <v>7</v>
      </c>
      <c r="B8" s="4">
        <v>8</v>
      </c>
      <c r="C8" s="4">
        <f t="shared" si="5"/>
        <v>7.5699999999999985</v>
      </c>
      <c r="D8" s="5">
        <f t="shared" si="0"/>
        <v>13.491999999999997</v>
      </c>
      <c r="E8" s="5">
        <f t="shared" si="1"/>
        <v>1.6479999999999988</v>
      </c>
      <c r="F8" s="4">
        <v>3</v>
      </c>
      <c r="G8" s="3">
        <f t="shared" si="2"/>
        <v>3.15</v>
      </c>
      <c r="H8" s="3">
        <f t="shared" si="3"/>
        <v>10.29105</v>
      </c>
      <c r="I8" s="3">
        <f t="shared" si="4"/>
        <v>0</v>
      </c>
    </row>
    <row r="9" spans="1:9" x14ac:dyDescent="0.35">
      <c r="A9" s="4">
        <v>8</v>
      </c>
      <c r="B9" s="4">
        <v>7.4</v>
      </c>
      <c r="C9" s="4">
        <f t="shared" si="5"/>
        <v>7.5699999999999985</v>
      </c>
      <c r="D9" s="5">
        <f t="shared" si="0"/>
        <v>13.491999999999997</v>
      </c>
      <c r="E9" s="5">
        <f t="shared" si="1"/>
        <v>1.6479999999999988</v>
      </c>
      <c r="F9" s="4">
        <v>2</v>
      </c>
      <c r="G9" s="3">
        <f t="shared" si="2"/>
        <v>3.15</v>
      </c>
      <c r="H9" s="3">
        <f t="shared" si="3"/>
        <v>10.29105</v>
      </c>
      <c r="I9" s="3">
        <f t="shared" si="4"/>
        <v>0</v>
      </c>
    </row>
    <row r="10" spans="1:9" x14ac:dyDescent="0.35">
      <c r="A10" s="4">
        <v>9</v>
      </c>
      <c r="B10" s="4">
        <v>6.4</v>
      </c>
      <c r="C10" s="4">
        <f t="shared" si="5"/>
        <v>7.5699999999999985</v>
      </c>
      <c r="D10" s="5">
        <f t="shared" si="0"/>
        <v>13.491999999999997</v>
      </c>
      <c r="E10" s="5">
        <f t="shared" si="1"/>
        <v>1.6479999999999988</v>
      </c>
      <c r="F10" s="4">
        <v>2</v>
      </c>
      <c r="G10" s="3">
        <f t="shared" si="2"/>
        <v>3.15</v>
      </c>
      <c r="H10" s="3">
        <f t="shared" si="3"/>
        <v>10.29105</v>
      </c>
      <c r="I10" s="3">
        <f t="shared" si="4"/>
        <v>0</v>
      </c>
    </row>
    <row r="11" spans="1:9" x14ac:dyDescent="0.35">
      <c r="A11" s="4">
        <v>10</v>
      </c>
      <c r="B11" s="4">
        <v>7.5</v>
      </c>
      <c r="C11" s="4">
        <f t="shared" si="5"/>
        <v>7.5699999999999985</v>
      </c>
      <c r="D11" s="5">
        <f t="shared" si="0"/>
        <v>13.491999999999997</v>
      </c>
      <c r="E11" s="5">
        <f t="shared" si="1"/>
        <v>1.6479999999999988</v>
      </c>
      <c r="F11" s="4">
        <v>4</v>
      </c>
      <c r="G11" s="3">
        <f t="shared" si="2"/>
        <v>3.15</v>
      </c>
      <c r="H11" s="3">
        <f t="shared" si="3"/>
        <v>10.29105</v>
      </c>
      <c r="I11" s="3">
        <f t="shared" si="4"/>
        <v>0</v>
      </c>
    </row>
    <row r="12" spans="1:9" x14ac:dyDescent="0.35">
      <c r="A12" s="4">
        <v>11</v>
      </c>
      <c r="B12" s="4">
        <v>8.8000000000000007</v>
      </c>
      <c r="C12" s="4">
        <f t="shared" si="5"/>
        <v>7.5699999999999985</v>
      </c>
      <c r="D12" s="5">
        <f t="shared" si="0"/>
        <v>13.491999999999997</v>
      </c>
      <c r="E12" s="5">
        <f t="shared" si="1"/>
        <v>1.6479999999999988</v>
      </c>
      <c r="F12" s="4">
        <v>3</v>
      </c>
      <c r="G12" s="3">
        <f t="shared" si="2"/>
        <v>3.15</v>
      </c>
      <c r="H12" s="3">
        <f t="shared" si="3"/>
        <v>10.29105</v>
      </c>
      <c r="I12" s="3">
        <f t="shared" si="4"/>
        <v>0</v>
      </c>
    </row>
    <row r="13" spans="1:9" x14ac:dyDescent="0.35">
      <c r="A13" s="4">
        <v>12</v>
      </c>
      <c r="B13" s="4">
        <v>9.1</v>
      </c>
      <c r="C13" s="4">
        <f t="shared" si="5"/>
        <v>7.5699999999999985</v>
      </c>
      <c r="D13" s="5">
        <f t="shared" si="0"/>
        <v>13.491999999999997</v>
      </c>
      <c r="E13" s="5">
        <f t="shared" si="1"/>
        <v>1.6479999999999988</v>
      </c>
      <c r="F13" s="4">
        <v>5</v>
      </c>
      <c r="G13" s="3">
        <f t="shared" si="2"/>
        <v>3.15</v>
      </c>
      <c r="H13" s="3">
        <f t="shared" si="3"/>
        <v>10.29105</v>
      </c>
      <c r="I13" s="3">
        <f t="shared" si="4"/>
        <v>0</v>
      </c>
    </row>
    <row r="14" spans="1:9" x14ac:dyDescent="0.35">
      <c r="A14" s="4">
        <v>13</v>
      </c>
      <c r="B14" s="4">
        <v>5.9</v>
      </c>
      <c r="C14" s="4">
        <f t="shared" si="5"/>
        <v>7.5699999999999985</v>
      </c>
      <c r="D14" s="5">
        <f t="shared" si="0"/>
        <v>13.491999999999997</v>
      </c>
      <c r="E14" s="5">
        <f t="shared" si="1"/>
        <v>1.6479999999999988</v>
      </c>
      <c r="F14" s="4">
        <v>3</v>
      </c>
      <c r="G14" s="3">
        <f t="shared" si="2"/>
        <v>3.15</v>
      </c>
      <c r="H14" s="3">
        <f t="shared" si="3"/>
        <v>10.29105</v>
      </c>
      <c r="I14" s="3">
        <f t="shared" si="4"/>
        <v>0</v>
      </c>
    </row>
    <row r="15" spans="1:9" x14ac:dyDescent="0.35">
      <c r="A15" s="4">
        <v>14</v>
      </c>
      <c r="B15" s="4">
        <v>9</v>
      </c>
      <c r="C15" s="4">
        <f t="shared" si="5"/>
        <v>7.5699999999999985</v>
      </c>
      <c r="D15" s="5">
        <f t="shared" si="0"/>
        <v>13.491999999999997</v>
      </c>
      <c r="E15" s="5">
        <f t="shared" si="1"/>
        <v>1.6479999999999988</v>
      </c>
      <c r="F15" s="4">
        <v>6</v>
      </c>
      <c r="G15" s="3">
        <f t="shared" si="2"/>
        <v>3.15</v>
      </c>
      <c r="H15" s="3">
        <f t="shared" si="3"/>
        <v>10.29105</v>
      </c>
      <c r="I15" s="3">
        <f t="shared" si="4"/>
        <v>0</v>
      </c>
    </row>
    <row r="16" spans="1:9" x14ac:dyDescent="0.35">
      <c r="A16" s="4">
        <v>15</v>
      </c>
      <c r="B16" s="4">
        <v>6.4</v>
      </c>
      <c r="C16" s="4">
        <f t="shared" si="5"/>
        <v>7.5699999999999985</v>
      </c>
      <c r="D16" s="5">
        <f t="shared" si="0"/>
        <v>13.491999999999997</v>
      </c>
      <c r="E16" s="5">
        <f t="shared" si="1"/>
        <v>1.6479999999999988</v>
      </c>
      <c r="F16" s="4">
        <v>3</v>
      </c>
      <c r="G16" s="3">
        <f t="shared" si="2"/>
        <v>3.15</v>
      </c>
      <c r="H16" s="3">
        <f t="shared" si="3"/>
        <v>10.29105</v>
      </c>
      <c r="I16" s="3">
        <f t="shared" si="4"/>
        <v>0</v>
      </c>
    </row>
    <row r="17" spans="1:9" x14ac:dyDescent="0.35">
      <c r="A17" s="4">
        <v>16</v>
      </c>
      <c r="B17" s="4">
        <v>7.3</v>
      </c>
      <c r="C17" s="4">
        <f t="shared" si="5"/>
        <v>7.5699999999999985</v>
      </c>
      <c r="D17" s="5">
        <f t="shared" si="0"/>
        <v>13.491999999999997</v>
      </c>
      <c r="E17" s="5">
        <f t="shared" si="1"/>
        <v>1.6479999999999988</v>
      </c>
      <c r="F17" s="4">
        <v>3</v>
      </c>
      <c r="G17" s="3">
        <f t="shared" si="2"/>
        <v>3.15</v>
      </c>
      <c r="H17" s="3">
        <f t="shared" si="3"/>
        <v>10.29105</v>
      </c>
      <c r="I17" s="3">
        <f t="shared" si="4"/>
        <v>0</v>
      </c>
    </row>
    <row r="18" spans="1:9" x14ac:dyDescent="0.35">
      <c r="A18" s="4">
        <v>17</v>
      </c>
      <c r="B18" s="4">
        <v>5.3</v>
      </c>
      <c r="C18" s="4">
        <f t="shared" si="5"/>
        <v>7.5699999999999985</v>
      </c>
      <c r="D18" s="5">
        <f t="shared" si="0"/>
        <v>13.491999999999997</v>
      </c>
      <c r="E18" s="5">
        <f t="shared" si="1"/>
        <v>1.6479999999999988</v>
      </c>
      <c r="F18" s="4">
        <v>2</v>
      </c>
      <c r="G18" s="3">
        <f t="shared" si="2"/>
        <v>3.15</v>
      </c>
      <c r="H18" s="3">
        <f t="shared" si="3"/>
        <v>10.29105</v>
      </c>
      <c r="I18" s="3">
        <f t="shared" si="4"/>
        <v>0</v>
      </c>
    </row>
    <row r="19" spans="1:9" x14ac:dyDescent="0.35">
      <c r="A19" s="4">
        <v>18</v>
      </c>
      <c r="B19" s="4">
        <v>7.6</v>
      </c>
      <c r="C19" s="4">
        <f t="shared" si="5"/>
        <v>7.5699999999999985</v>
      </c>
      <c r="D19" s="5">
        <f t="shared" si="0"/>
        <v>13.491999999999997</v>
      </c>
      <c r="E19" s="5">
        <f t="shared" si="1"/>
        <v>1.6479999999999988</v>
      </c>
      <c r="F19" s="4">
        <v>4</v>
      </c>
      <c r="G19" s="3">
        <f t="shared" si="2"/>
        <v>3.15</v>
      </c>
      <c r="H19" s="3">
        <f t="shared" si="3"/>
        <v>10.29105</v>
      </c>
      <c r="I19" s="3">
        <f t="shared" si="4"/>
        <v>0</v>
      </c>
    </row>
    <row r="20" spans="1:9" x14ac:dyDescent="0.35">
      <c r="A20" s="4">
        <v>19</v>
      </c>
      <c r="B20" s="4">
        <v>8.1</v>
      </c>
      <c r="C20" s="4">
        <f t="shared" si="5"/>
        <v>7.5699999999999985</v>
      </c>
      <c r="D20" s="5">
        <f t="shared" si="0"/>
        <v>13.491999999999997</v>
      </c>
      <c r="E20" s="5">
        <f t="shared" si="1"/>
        <v>1.6479999999999988</v>
      </c>
      <c r="F20" s="4">
        <v>3</v>
      </c>
      <c r="G20" s="3">
        <f t="shared" si="2"/>
        <v>3.15</v>
      </c>
      <c r="H20" s="3">
        <f t="shared" si="3"/>
        <v>10.29105</v>
      </c>
      <c r="I20" s="3">
        <f t="shared" si="4"/>
        <v>0</v>
      </c>
    </row>
    <row r="21" spans="1:9" x14ac:dyDescent="0.35">
      <c r="A21" s="4">
        <v>20</v>
      </c>
      <c r="B21" s="4">
        <v>8</v>
      </c>
      <c r="C21" s="4">
        <f t="shared" si="5"/>
        <v>7.5699999999999985</v>
      </c>
      <c r="D21" s="5">
        <f t="shared" si="0"/>
        <v>13.491999999999997</v>
      </c>
      <c r="E21" s="5">
        <f t="shared" si="1"/>
        <v>1.6479999999999988</v>
      </c>
      <c r="F21" s="4">
        <v>2</v>
      </c>
      <c r="G21" s="3">
        <f t="shared" si="2"/>
        <v>3.15</v>
      </c>
      <c r="H21" s="3">
        <f t="shared" si="3"/>
        <v>10.29105</v>
      </c>
      <c r="I21" s="3">
        <f t="shared" si="4"/>
        <v>0</v>
      </c>
    </row>
    <row r="22" spans="1:9" x14ac:dyDescent="0.35">
      <c r="B2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2026-04-27T08:05:00Z</dcterms:created>
  <dcterms:modified xsi:type="dcterms:W3CDTF">2026-06-11T02:48:17Z</dcterms:modified>
</cp:coreProperties>
</file>